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Q1\Documents\"/>
    </mc:Choice>
  </mc:AlternateContent>
  <bookViews>
    <workbookView xWindow="0" yWindow="0" windowWidth="28800" windowHeight="12300" activeTab="1"/>
  </bookViews>
  <sheets>
    <sheet name="Sheet2" sheetId="2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7" i="1"/>
  <c r="H5" i="1"/>
  <c r="K7" i="1"/>
  <c r="K6" i="1"/>
  <c r="K5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<sst xmlns="http://schemas.openxmlformats.org/spreadsheetml/2006/main" count="34" uniqueCount="23">
  <si>
    <t xml:space="preserve">Name </t>
  </si>
  <si>
    <t>Gander</t>
  </si>
  <si>
    <t>Age</t>
  </si>
  <si>
    <t>Class</t>
  </si>
  <si>
    <t>unit test 1</t>
  </si>
  <si>
    <t>unit test 2</t>
  </si>
  <si>
    <t>final test</t>
  </si>
  <si>
    <t xml:space="preserve">Muskan </t>
  </si>
  <si>
    <t>Bilal</t>
  </si>
  <si>
    <t xml:space="preserve">Ayesha </t>
  </si>
  <si>
    <t>Ali</t>
  </si>
  <si>
    <t>Alishbah</t>
  </si>
  <si>
    <t>F</t>
  </si>
  <si>
    <t>M</t>
  </si>
  <si>
    <t>vlook up</t>
  </si>
  <si>
    <t>muskan</t>
  </si>
  <si>
    <t>bilal</t>
  </si>
  <si>
    <t>ayesha</t>
  </si>
  <si>
    <t>Row Labels</t>
  </si>
  <si>
    <t>Grand Total</t>
  </si>
  <si>
    <t>(All)</t>
  </si>
  <si>
    <t>Sum of final test</t>
  </si>
  <si>
    <t>If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</si>
</sst>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Sheet1!$A$2:$B$6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</c:lvl>
                <c:lvl>
                  <c:pt idx="0">
                    <c:v>Muskan </c:v>
                  </c:pt>
                  <c:pt idx="1">
                    <c:v>Bilal</c:v>
                  </c:pt>
                  <c:pt idx="2">
                    <c:v>Ayesha </c:v>
                  </c:pt>
                  <c:pt idx="3">
                    <c:v>Ali</c:v>
                  </c:pt>
                  <c:pt idx="4">
                    <c:v>Alishbah</c:v>
                  </c:pt>
                </c:lvl>
              </c:multiLvlStrCache>
            </c:multiLvl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10</c:v>
                </c:pt>
                <c:pt idx="3">
                  <c:v>15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D-4517-B014-84EB9F4305C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Class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Sheet1!$A$2:$B$6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</c:lvl>
                <c:lvl>
                  <c:pt idx="0">
                    <c:v>Muskan </c:v>
                  </c:pt>
                  <c:pt idx="1">
                    <c:v>Bilal</c:v>
                  </c:pt>
                  <c:pt idx="2">
                    <c:v>Ayesha </c:v>
                  </c:pt>
                  <c:pt idx="3">
                    <c:v>Ali</c:v>
                  </c:pt>
                  <c:pt idx="4">
                    <c:v>Alishbah</c:v>
                  </c:pt>
                </c:lvl>
              </c:multiLvlStrCache>
            </c:multiLvl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11</c:v>
                </c:pt>
                <c:pt idx="1">
                  <c:v>9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D-4517-B014-84EB9F4305CE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unit test 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Sheet1!$A$2:$B$6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</c:lvl>
                <c:lvl>
                  <c:pt idx="0">
                    <c:v>Muskan </c:v>
                  </c:pt>
                  <c:pt idx="1">
                    <c:v>Bilal</c:v>
                  </c:pt>
                  <c:pt idx="2">
                    <c:v>Ayesha </c:v>
                  </c:pt>
                  <c:pt idx="3">
                    <c:v>Ali</c:v>
                  </c:pt>
                  <c:pt idx="4">
                    <c:v>Alishbah</c:v>
                  </c:pt>
                </c:lvl>
              </c:multiLvlStrCache>
            </c:multiLvl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59</c:v>
                </c:pt>
                <c:pt idx="1">
                  <c:v>78</c:v>
                </c:pt>
                <c:pt idx="2">
                  <c:v>70</c:v>
                </c:pt>
                <c:pt idx="3">
                  <c:v>69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D-4517-B014-84EB9F4305CE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unit test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Sheet1!$A$2:$B$6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</c:lvl>
                <c:lvl>
                  <c:pt idx="0">
                    <c:v>Muskan </c:v>
                  </c:pt>
                  <c:pt idx="1">
                    <c:v>Bilal</c:v>
                  </c:pt>
                  <c:pt idx="2">
                    <c:v>Ayesha </c:v>
                  </c:pt>
                  <c:pt idx="3">
                    <c:v>Ali</c:v>
                  </c:pt>
                  <c:pt idx="4">
                    <c:v>Alishbah</c:v>
                  </c:pt>
                </c:lvl>
              </c:multiLvlStrCache>
            </c:multiLvl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65</c:v>
                </c:pt>
                <c:pt idx="1">
                  <c:v>56</c:v>
                </c:pt>
                <c:pt idx="2">
                  <c:v>78</c:v>
                </c:pt>
                <c:pt idx="3">
                  <c:v>80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ED-4517-B014-84EB9F430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842272"/>
        <c:axId val="710843520"/>
      </c:barChart>
      <c:lineChart>
        <c:grouping val="standard"/>
        <c:varyColors val="0"/>
        <c:ser>
          <c:idx val="4"/>
          <c:order val="4"/>
          <c:tx>
            <c:strRef>
              <c:f>Sheet1!$G$1</c:f>
              <c:strCache>
                <c:ptCount val="1"/>
                <c:pt idx="0">
                  <c:v>final test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Sheet1!$A$2:$B$6</c:f>
              <c:multiLvlStrCache>
                <c:ptCount val="5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</c:lvl>
                <c:lvl>
                  <c:pt idx="0">
                    <c:v>Muskan </c:v>
                  </c:pt>
                  <c:pt idx="1">
                    <c:v>Bilal</c:v>
                  </c:pt>
                  <c:pt idx="2">
                    <c:v>Ayesha </c:v>
                  </c:pt>
                  <c:pt idx="3">
                    <c:v>Ali</c:v>
                  </c:pt>
                  <c:pt idx="4">
                    <c:v>Alishbah</c:v>
                  </c:pt>
                </c:lvl>
              </c:multiLvlStrCache>
            </c:multiLvl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124</c:v>
                </c:pt>
                <c:pt idx="1">
                  <c:v>134</c:v>
                </c:pt>
                <c:pt idx="2">
                  <c:v>148</c:v>
                </c:pt>
                <c:pt idx="3">
                  <c:v>149</c:v>
                </c:pt>
                <c:pt idx="4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ED-4517-B014-84EB9F430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842272"/>
        <c:axId val="710843520"/>
      </c:lineChart>
      <c:catAx>
        <c:axId val="71084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43520"/>
        <c:crosses val="autoZero"/>
        <c:auto val="1"/>
        <c:lblAlgn val="ctr"/>
        <c:lblOffset val="100"/>
        <c:noMultiLvlLbl val="0"/>
      </c:catAx>
      <c:valAx>
        <c:axId val="71084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8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9</xdr:row>
      <xdr:rowOff>95250</xdr:rowOff>
    </xdr:from>
    <xdr:to>
      <xdr:col>9</xdr:col>
      <xdr:colOff>9525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Q1" refreshedDate="45921.176352430557" createdVersion="6" refreshedVersion="6" minRefreshableVersion="3" recordCount="5">
  <cacheSource type="worksheet">
    <worksheetSource ref="A1:G6" sheet="Sheet1"/>
  </cacheSource>
  <cacheFields count="7">
    <cacheField name="Name " numFmtId="0">
      <sharedItems count="5">
        <s v="Muskan "/>
        <s v="Bilal"/>
        <s v="Ayesha "/>
        <s v="Ali"/>
        <s v="Alishbah"/>
      </sharedItems>
    </cacheField>
    <cacheField name="Gander" numFmtId="0">
      <sharedItems count="2">
        <s v="F"/>
        <s v="M"/>
      </sharedItems>
    </cacheField>
    <cacheField name="Age" numFmtId="0">
      <sharedItems containsSemiMixedTypes="0" containsString="0" containsNumber="1" containsInteger="1" minValue="10" maxValue="19" count="5">
        <n v="18"/>
        <n v="16"/>
        <n v="10"/>
        <n v="15"/>
        <n v="19"/>
      </sharedItems>
    </cacheField>
    <cacheField name="Class" numFmtId="0">
      <sharedItems containsSemiMixedTypes="0" containsString="0" containsNumber="1" containsInteger="1" minValue="5" maxValue="12"/>
    </cacheField>
    <cacheField name="unit test 1" numFmtId="0">
      <sharedItems containsSemiMixedTypes="0" containsString="0" containsNumber="1" containsInteger="1" minValue="59" maxValue="80"/>
    </cacheField>
    <cacheField name="unit test 2" numFmtId="0">
      <sharedItems containsSemiMixedTypes="0" containsString="0" containsNumber="1" containsInteger="1" minValue="56" maxValue="80"/>
    </cacheField>
    <cacheField name="final test" numFmtId="0">
      <sharedItems containsSemiMixedTypes="0" containsString="0" containsNumber="1" containsInteger="1" minValue="124" maxValue="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n v="11"/>
    <n v="59"/>
    <n v="65"/>
    <n v="124"/>
  </r>
  <r>
    <x v="1"/>
    <x v="1"/>
    <x v="1"/>
    <n v="9"/>
    <n v="78"/>
    <n v="56"/>
    <n v="134"/>
  </r>
  <r>
    <x v="2"/>
    <x v="0"/>
    <x v="2"/>
    <n v="5"/>
    <n v="70"/>
    <n v="78"/>
    <n v="148"/>
  </r>
  <r>
    <x v="3"/>
    <x v="1"/>
    <x v="3"/>
    <n v="8"/>
    <n v="69"/>
    <n v="80"/>
    <n v="149"/>
  </r>
  <r>
    <x v="4"/>
    <x v="0"/>
    <x v="4"/>
    <n v="12"/>
    <n v="80"/>
    <n v="58"/>
    <n v="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10" firstHeaderRow="1" firstDataRow="1" firstDataCol="1" rowPageCount="2" colPageCount="1"/>
  <pivotFields count="7">
    <pivotField axis="axisRow" showAll="0">
      <items count="6">
        <item x="3"/>
        <item x="4"/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1" hier="-1"/>
    <pageField fld="2" hier="-1"/>
  </pageFields>
  <dataFields count="1">
    <dataField name="Sum of final tes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5.5703125" customWidth="1"/>
  </cols>
  <sheetData>
    <row r="1" spans="1:2" x14ac:dyDescent="0.25">
      <c r="A1" s="1" t="s">
        <v>1</v>
      </c>
      <c r="B1" t="s">
        <v>20</v>
      </c>
    </row>
    <row r="2" spans="1:2" x14ac:dyDescent="0.25">
      <c r="A2" s="1" t="s">
        <v>2</v>
      </c>
      <c r="B2" t="s">
        <v>20</v>
      </c>
    </row>
    <row r="4" spans="1:2" x14ac:dyDescent="0.25">
      <c r="A4" s="1" t="s">
        <v>18</v>
      </c>
      <c r="B4" t="s">
        <v>21</v>
      </c>
    </row>
    <row r="5" spans="1:2" x14ac:dyDescent="0.25">
      <c r="A5" s="2" t="s">
        <v>10</v>
      </c>
      <c r="B5" s="3">
        <v>149</v>
      </c>
    </row>
    <row r="6" spans="1:2" x14ac:dyDescent="0.25">
      <c r="A6" s="2" t="s">
        <v>11</v>
      </c>
      <c r="B6" s="3">
        <v>138</v>
      </c>
    </row>
    <row r="7" spans="1:2" x14ac:dyDescent="0.25">
      <c r="A7" s="2" t="s">
        <v>9</v>
      </c>
      <c r="B7" s="3">
        <v>148</v>
      </c>
    </row>
    <row r="8" spans="1:2" x14ac:dyDescent="0.25">
      <c r="A8" s="2" t="s">
        <v>8</v>
      </c>
      <c r="B8" s="3">
        <v>134</v>
      </c>
    </row>
    <row r="9" spans="1:2" x14ac:dyDescent="0.25">
      <c r="A9" s="2" t="s">
        <v>7</v>
      </c>
      <c r="B9" s="3">
        <v>124</v>
      </c>
    </row>
    <row r="10" spans="1:2" x14ac:dyDescent="0.25">
      <c r="A10" s="2" t="s">
        <v>19</v>
      </c>
      <c r="B10" s="3">
        <v>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sqref="A1:G6"/>
    </sheetView>
  </sheetViews>
  <sheetFormatPr defaultRowHeight="15" x14ac:dyDescent="0.25"/>
  <cols>
    <col min="5" max="5" width="11.42578125" customWidth="1"/>
    <col min="6" max="6" width="11.85546875" customWidth="1"/>
    <col min="7" max="7" width="11" customWidth="1"/>
    <col min="8" max="8" width="12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25">
      <c r="A2" t="s">
        <v>7</v>
      </c>
      <c r="B2" t="s">
        <v>12</v>
      </c>
      <c r="C2">
        <v>18</v>
      </c>
      <c r="D2">
        <v>11</v>
      </c>
      <c r="E2">
        <v>59</v>
      </c>
      <c r="F2">
        <v>65</v>
      </c>
      <c r="G2">
        <f>SUM(E2,F2)</f>
        <v>124</v>
      </c>
    </row>
    <row r="3" spans="1:11" x14ac:dyDescent="0.25">
      <c r="A3" t="s">
        <v>8</v>
      </c>
      <c r="B3" t="s">
        <v>13</v>
      </c>
      <c r="C3">
        <v>16</v>
      </c>
      <c r="D3">
        <v>9</v>
      </c>
      <c r="E3">
        <v>78</v>
      </c>
      <c r="F3">
        <v>56</v>
      </c>
      <c r="G3">
        <f t="shared" ref="G3:G6" si="0">SUM(E3,F3)</f>
        <v>134</v>
      </c>
    </row>
    <row r="4" spans="1:11" x14ac:dyDescent="0.25">
      <c r="A4" t="s">
        <v>9</v>
      </c>
      <c r="B4" t="s">
        <v>12</v>
      </c>
      <c r="C4">
        <v>10</v>
      </c>
      <c r="D4">
        <v>5</v>
      </c>
      <c r="E4">
        <v>70</v>
      </c>
      <c r="F4">
        <v>78</v>
      </c>
      <c r="G4">
        <f t="shared" si="0"/>
        <v>148</v>
      </c>
      <c r="H4" t="s">
        <v>22</v>
      </c>
      <c r="J4" t="s">
        <v>14</v>
      </c>
    </row>
    <row r="5" spans="1:11" x14ac:dyDescent="0.25">
      <c r="A5" t="s">
        <v>10</v>
      </c>
      <c r="B5" t="s">
        <v>13</v>
      </c>
      <c r="C5">
        <v>15</v>
      </c>
      <c r="D5">
        <v>8</v>
      </c>
      <c r="E5">
        <v>69</v>
      </c>
      <c r="F5">
        <v>80</v>
      </c>
      <c r="G5">
        <f t="shared" si="0"/>
        <v>149</v>
      </c>
      <c r="H5" t="str">
        <f>IF(A4&gt;150,"pass","fail")</f>
        <v>pass</v>
      </c>
      <c r="J5" t="s">
        <v>15</v>
      </c>
      <c r="K5">
        <f>VLOOKUP(A2,A1:G6,6,FALSE)</f>
        <v>65</v>
      </c>
    </row>
    <row r="6" spans="1:11" x14ac:dyDescent="0.25">
      <c r="A6" t="s">
        <v>11</v>
      </c>
      <c r="B6" t="s">
        <v>12</v>
      </c>
      <c r="C6">
        <v>19</v>
      </c>
      <c r="D6">
        <v>12</v>
      </c>
      <c r="E6">
        <v>80</v>
      </c>
      <c r="F6">
        <v>58</v>
      </c>
      <c r="G6">
        <f t="shared" si="0"/>
        <v>138</v>
      </c>
      <c r="H6" t="str">
        <f t="shared" ref="H6:H7" si="1">IF(A5&gt;150,"pass","fail")</f>
        <v>pass</v>
      </c>
      <c r="J6" t="s">
        <v>16</v>
      </c>
      <c r="K6">
        <f>VLOOKUP(A3,A1:G6,6,FALSE)</f>
        <v>56</v>
      </c>
    </row>
    <row r="7" spans="1:11" x14ac:dyDescent="0.25">
      <c r="H7" t="str">
        <f t="shared" si="1"/>
        <v>pass</v>
      </c>
      <c r="J7" t="s">
        <v>17</v>
      </c>
      <c r="K7">
        <f>VLOOKUP(A4,A1:G6,6,FALSE)</f>
        <v>78</v>
      </c>
    </row>
  </sheetData>
  <conditionalFormatting sqref="G1:G6">
    <cfRule type="cellIs" dxfId="0" priority="1" operator="greaterThan">
      <formula>136.5</formula>
    </cfRule>
  </conditionalFormatting>
  <dataValidations count="1">
    <dataValidation type="whole" allowBlank="1" showInputMessage="1" showErrorMessage="1" errorTitle="error" error="between 33 to 40" promptTitle="instruction" prompt="betwee 33 to 40" sqref="E2:E6">
      <formula1>33</formula1>
      <formula2>40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2025-09-21T10:55:48Z</dcterms:created>
  <dcterms:modified xsi:type="dcterms:W3CDTF">2025-09-21T11:16:18Z</dcterms:modified>
</cp:coreProperties>
</file>